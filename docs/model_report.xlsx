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port" sheetId="1" state="visible" r:id="rId1"/>
    <sheet xmlns:r="http://schemas.openxmlformats.org/officeDocument/2006/relationships" name="Confusion matrix VGG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%;-0.0%"/>
    <numFmt numFmtId="166" formatCode="+0.000;-0.00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7B2D5E"/>
      <sz val="14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sz val="11"/>
    </font>
    <font>
      <name val="Arial"/>
      <color rgb="00555555"/>
      <sz val="10"/>
    </font>
    <font>
      <name val="Arial"/>
      <b val="1"/>
      <color rgb="007B2D5E"/>
      <sz val="12"/>
    </font>
  </fonts>
  <fills count="4">
    <fill>
      <patternFill/>
    </fill>
    <fill>
      <patternFill patternType="gray125"/>
    </fill>
    <fill>
      <patternFill patternType="solid">
        <fgColor rgb="00F2D7E3"/>
      </patternFill>
    </fill>
    <fill>
      <patternFill patternType="solid">
        <fgColor rgb="007B2D5E"/>
      </patternFill>
    </fill>
  </fills>
  <borders count="2">
    <border>
      <left/>
      <right/>
      <top/>
      <bottom/>
      <diagonal/>
    </border>
    <border>
      <left style="thin">
        <color rgb="00C9A9BC"/>
      </left>
      <right style="thin">
        <color rgb="00C9A9BC"/>
      </right>
      <top style="thin">
        <color rgb="00C9A9BC"/>
      </top>
      <bottom style="thin">
        <color rgb="00C9A9B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9" customWidth="1" min="3" max="3"/>
    <col width="7" customWidth="1" min="4" max="4"/>
    <col width="18" customWidth="1" min="5" max="5"/>
    <col width="10" customWidth="1" min="6" max="6"/>
    <col width="11" customWidth="1" min="7" max="7"/>
    <col width="12" customWidth="1" min="8" max="8"/>
    <col width="11" customWidth="1" min="9" max="9"/>
    <col width="42" customWidth="1" min="10" max="10"/>
  </cols>
  <sheetData>
    <row r="1">
      <c r="A1" s="1" t="inlineStr">
        <is>
          <t>Model report — Разпознаване на медицинска аномалия (CAMELYON17)</t>
        </is>
      </c>
    </row>
    <row r="3" ht="32" customHeight="1">
      <c r="A3" s="2" t="inlineStr">
        <is>
          <t>Най-добър модел: VGG11 — най-висок Cohen Kappa (0.797) върху невиждани пациенти, което по Landis &amp; Koch е значително съгласие. По-дълбокият VGG16 не дава предимство при този обем данни.</t>
        </is>
      </c>
    </row>
    <row r="5" ht="30" customHeight="1">
      <c r="A5" s="3" t="inlineStr">
        <is>
          <t>Модел</t>
        </is>
      </c>
      <c r="B5" s="3" t="inlineStr">
        <is>
          <t>Архитектура</t>
        </is>
      </c>
      <c r="C5" s="3" t="inlineStr">
        <is>
          <t>Скорост
на обуч.</t>
        </is>
      </c>
      <c r="D5" s="3" t="inlineStr">
        <is>
          <t>Епохи</t>
        </is>
      </c>
      <c r="E5" s="3" t="inlineStr">
        <is>
          <t>Аугментация</t>
        </is>
      </c>
      <c r="F5" s="3" t="inlineStr">
        <is>
          <t>Accuracy
(val)</t>
        </is>
      </c>
      <c r="G5" s="3" t="inlineStr">
        <is>
          <t>Δ% спрямо
baseline</t>
        </is>
      </c>
      <c r="H5" s="3" t="inlineStr">
        <is>
          <t>Cohen Kappa
(val)</t>
        </is>
      </c>
      <c r="I5" s="3" t="inlineStr">
        <is>
          <t>Δ спрямо
baseline</t>
        </is>
      </c>
      <c r="J5" s="3" t="inlineStr">
        <is>
          <t>Comments</t>
        </is>
      </c>
    </row>
    <row r="6">
      <c r="A6" s="4" t="inlineStr">
        <is>
          <t>Baseline (мнозинствен клас)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6" t="n">
        <v>0.5</v>
      </c>
      <c r="G6" s="5" t="inlineStr">
        <is>
          <t>baseline</t>
        </is>
      </c>
      <c r="H6" s="6" t="n">
        <v>0</v>
      </c>
      <c r="I6" s="5" t="inlineStr">
        <is>
          <t>baseline</t>
        </is>
      </c>
      <c r="J6" s="7" t="inlineStr">
        <is>
          <t>Предсказва само мнозинствения клас. Референтна точка.</t>
        </is>
      </c>
    </row>
    <row r="7">
      <c r="A7" s="4" t="inlineStr">
        <is>
          <t>SimpleCNN</t>
        </is>
      </c>
      <c r="B7" s="5" t="inlineStr">
        <is>
          <t>3 conv блока</t>
        </is>
      </c>
      <c r="C7" s="5" t="inlineStr">
        <is>
          <t>5e-4</t>
        </is>
      </c>
      <c r="D7" s="5" t="n">
        <v>25</v>
      </c>
      <c r="E7" s="5" t="inlineStr">
        <is>
          <t>ColorJitter + флипове</t>
        </is>
      </c>
      <c r="F7" s="6" t="n">
        <v>0.863</v>
      </c>
      <c r="G7" s="8">
        <f>(F7-$F$6)/$F$6</f>
        <v/>
      </c>
      <c r="H7" s="6" t="n">
        <v>0.725</v>
      </c>
      <c r="I7" s="9">
        <f>H7-$H$6</f>
        <v/>
      </c>
      <c r="J7" s="7" t="inlineStr">
        <is>
          <t>Базова мрежа; солидно над baseline.</t>
        </is>
      </c>
    </row>
    <row r="8">
      <c r="A8" s="10" t="inlineStr">
        <is>
          <t>VGG11</t>
        </is>
      </c>
      <c r="B8" s="11" t="inlineStr">
        <is>
          <t>VGG11 + BN</t>
        </is>
      </c>
      <c r="C8" s="11" t="inlineStr">
        <is>
          <t>5e-4</t>
        </is>
      </c>
      <c r="D8" s="11" t="n">
        <v>25</v>
      </c>
      <c r="E8" s="11" t="inlineStr">
        <is>
          <t>ColorJitter + флипове</t>
        </is>
      </c>
      <c r="F8" s="12" t="n">
        <v>0.899</v>
      </c>
      <c r="G8" s="13">
        <f>(F8-$F$6)/$F$6</f>
        <v/>
      </c>
      <c r="H8" s="12" t="n">
        <v>0.797</v>
      </c>
      <c r="I8" s="14">
        <f>H8-$H$6</f>
        <v/>
      </c>
      <c r="J8" s="15" t="inlineStr">
        <is>
          <t>Най-добър. Значително съгласие (Landis &amp; Koch).</t>
        </is>
      </c>
    </row>
    <row r="9">
      <c r="A9" s="4" t="inlineStr">
        <is>
          <t>VGG16</t>
        </is>
      </c>
      <c r="B9" s="5" t="inlineStr">
        <is>
          <t>VGG16 + BN</t>
        </is>
      </c>
      <c r="C9" s="5" t="inlineStr">
        <is>
          <t>5e-4</t>
        </is>
      </c>
      <c r="D9" s="5" t="n">
        <v>25</v>
      </c>
      <c r="E9" s="5" t="inlineStr">
        <is>
          <t>ColorJitter + флипове</t>
        </is>
      </c>
      <c r="F9" s="6" t="n">
        <v>0.862</v>
      </c>
      <c r="G9" s="8">
        <f>(F9-$F$6)/$F$6</f>
        <v/>
      </c>
      <c r="H9" s="6" t="n">
        <v>0.724</v>
      </c>
      <c r="I9" s="9">
        <f>H9-$H$6</f>
        <v/>
      </c>
      <c r="J9" s="7" t="inlineStr">
        <is>
          <t>По-дълбок, без предимство при този обем данни.</t>
        </is>
      </c>
    </row>
    <row r="11" ht="28" customHeight="1">
      <c r="A11" s="16" t="inlineStr">
        <is>
          <t>U-Net автоенкодер (unsupervised): ROC AUC на грешката на реконструкция = 0.353 (&lt; 0.5 — не разделя класовете; туморните патчове се реконструират по-добре). Не е включен в таблицата, защото метриката му не е сравнима.</t>
        </is>
      </c>
    </row>
    <row r="12" ht="28" customHeight="1">
      <c r="A12" s="16" t="inlineStr">
        <is>
          <t>Оценката е върху валидационно множество от 12 000 патча от пациенти извън обучението (разделяне на ниво пациент). Отделно тестово множество е бъдеща работа. Метрика на Cohen е реализирана от нула в metrics.py.</t>
        </is>
      </c>
    </row>
  </sheetData>
  <mergeCells count="4">
    <mergeCell ref="A12:J12"/>
    <mergeCell ref="A1:J1"/>
    <mergeCell ref="A3:J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2" customWidth="1" min="5" max="5"/>
  </cols>
  <sheetData>
    <row r="1">
      <c r="A1" s="17" t="inlineStr">
        <is>
          <t>VGG11 — матрица на обърквания (валидация, 12 000 патча)</t>
        </is>
      </c>
    </row>
    <row r="3">
      <c r="A3" s="3" t="inlineStr"/>
      <c r="B3" s="3" t="inlineStr">
        <is>
          <t>Предсказан normal</t>
        </is>
      </c>
      <c r="C3" s="3" t="inlineStr">
        <is>
          <t>Предсказан tumor</t>
        </is>
      </c>
      <c r="D3" s="3" t="inlineStr">
        <is>
          <t>Общо</t>
        </is>
      </c>
      <c r="E3" s="3" t="inlineStr">
        <is>
          <t>Дял верни</t>
        </is>
      </c>
    </row>
    <row r="4">
      <c r="A4" s="18" t="inlineStr">
        <is>
          <t>Истински normal</t>
        </is>
      </c>
      <c r="B4" s="5" t="n">
        <v>5842</v>
      </c>
      <c r="C4" s="5" t="n">
        <v>158</v>
      </c>
      <c r="D4" s="5">
        <f>B4+C4</f>
        <v/>
      </c>
      <c r="E4" s="19">
        <f>B4/D4</f>
        <v/>
      </c>
    </row>
    <row r="5">
      <c r="A5" s="18" t="inlineStr">
        <is>
          <t>Истински tumor</t>
        </is>
      </c>
      <c r="B5" s="5" t="n">
        <v>1058</v>
      </c>
      <c r="C5" s="5" t="n">
        <v>4942</v>
      </c>
      <c r="D5" s="5">
        <f>B5+C5</f>
        <v/>
      </c>
      <c r="E5" s="19">
        <f>C5/D5</f>
        <v/>
      </c>
    </row>
    <row r="7" ht="40" customHeight="1">
      <c r="A7" s="16" t="inlineStr">
        <is>
          <t>Специфичност 97.4% (рядко обявява здрава тъкан за тумор); чувствителност 82.4% (пропуска 17.6% от тумора). Грешките са асиметрични — фалшиво отрицателните (пропуснат тумор) са по-съществени в медицински контекст.</t>
        </is>
      </c>
    </row>
  </sheetData>
  <mergeCells count="1"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2026-06-24T20:02:56Z</dcterms:created>
  <dcterms:modified xmlns:dcterms="http://purl.org/dc/terms/" xmlns:xsi="http://www.w3.org/2001/XMLSchema-instance" xsi:type="dcterms:W3CDTF">2026-06-24T20:02:56Z</dcterms:modified>
</cp:coreProperties>
</file>